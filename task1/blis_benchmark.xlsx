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rahim" sheetId="1" r:id="rId5"/>
  </sheets>
  <definedNames/>
  <calcPr/>
</workbook>
</file>

<file path=xl/sharedStrings.xml><?xml version="1.0" encoding="utf-8"?>
<sst xmlns="http://schemas.openxmlformats.org/spreadsheetml/2006/main" count="39" uniqueCount="26">
  <si>
    <t>2k</t>
  </si>
  <si>
    <t>4k</t>
  </si>
  <si>
    <t>6k</t>
  </si>
  <si>
    <t>8k</t>
  </si>
  <si>
    <t>10k</t>
  </si>
  <si>
    <t>12k</t>
  </si>
  <si>
    <t>14k</t>
  </si>
  <si>
    <t>16k</t>
  </si>
  <si>
    <t>18k</t>
  </si>
  <si>
    <t>Name</t>
  </si>
  <si>
    <t>Ibrahim Butt</t>
  </si>
  <si>
    <t>CPU</t>
  </si>
  <si>
    <t>Ryzen 7 Pro 5850U</t>
  </si>
  <si>
    <t>Architecture</t>
  </si>
  <si>
    <t>Zen3</t>
  </si>
  <si>
    <t>Cores</t>
  </si>
  <si>
    <t>Base Clock</t>
  </si>
  <si>
    <t>Boost Clock</t>
  </si>
  <si>
    <t>per clock flop</t>
  </si>
  <si>
    <t>Avg Clock Speed</t>
  </si>
  <si>
    <t>BASE</t>
  </si>
  <si>
    <t>BOOST</t>
  </si>
  <si>
    <t>AVG</t>
  </si>
  <si>
    <t>EFF</t>
  </si>
  <si>
    <t>AVG Temp</t>
  </si>
  <si>
    <t>AVG Gflops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</si>
</sst>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Temp and AVG Gflops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ibrahim!$A$44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ibrahim!$B$44:$J$44</c:f>
              <c:numCache/>
            </c:numRef>
          </c:val>
          <c:smooth val="1"/>
        </c:ser>
        <c:ser>
          <c:idx val="1"/>
          <c:order val="1"/>
          <c:tx>
            <c:strRef>
              <c:f>ibrahim!$A$45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ibrahim!$B$45:$J$45</c:f>
              <c:numCache/>
            </c:numRef>
          </c:val>
          <c:smooth val="1"/>
        </c:ser>
        <c:axId val="100651590"/>
        <c:axId val="1975871340"/>
      </c:lineChart>
      <c:catAx>
        <c:axId val="100651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871340"/>
      </c:catAx>
      <c:valAx>
        <c:axId val="1975871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651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Temp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ibrahim!$A$44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ibrahim!$B$44:$J$44</c:f>
              <c:numCache/>
            </c:numRef>
          </c:val>
          <c:smooth val="1"/>
        </c:ser>
        <c:axId val="1000367898"/>
        <c:axId val="18599818"/>
      </c:lineChart>
      <c:catAx>
        <c:axId val="1000367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99818"/>
      </c:catAx>
      <c:valAx>
        <c:axId val="18599818"/>
        <c:scaling>
          <c:orientation val="minMax"/>
          <c:min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Temp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367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Gflops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ibrahim!$A$45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ibrahim!$B$45:$J$45</c:f>
              <c:numCache/>
            </c:numRef>
          </c:val>
          <c:smooth val="1"/>
        </c:ser>
        <c:axId val="1976250495"/>
        <c:axId val="1561331905"/>
      </c:lineChart>
      <c:catAx>
        <c:axId val="197625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331905"/>
      </c:catAx>
      <c:valAx>
        <c:axId val="1561331905"/>
        <c:scaling>
          <c:orientation val="minMax"/>
          <c:min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Gflops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250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gflops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ibrahim!$A$14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ibrahim!$C$1:$J$1</c:f>
            </c:strRef>
          </c:cat>
          <c:val>
            <c:numRef>
              <c:f>ibrahim!$B$14:$J$14</c:f>
              <c:numCache/>
            </c:numRef>
          </c:val>
          <c:smooth val="1"/>
        </c:ser>
        <c:axId val="529394507"/>
        <c:axId val="1818527662"/>
      </c:lineChart>
      <c:catAx>
        <c:axId val="529394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527662"/>
      </c:catAx>
      <c:valAx>
        <c:axId val="1818527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394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952500</xdr:colOff>
      <xdr:row>39</xdr:row>
      <xdr:rowOff>142875</xdr:rowOff>
    </xdr:from>
    <xdr:ext cx="4133850" cy="2562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952500</xdr:colOff>
      <xdr:row>28</xdr:row>
      <xdr:rowOff>66675</xdr:rowOff>
    </xdr:from>
    <xdr:ext cx="3333750" cy="2066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19050</xdr:colOff>
      <xdr:row>28</xdr:row>
      <xdr:rowOff>66675</xdr:rowOff>
    </xdr:from>
    <xdr:ext cx="3400425" cy="2066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952500</xdr:colOff>
      <xdr:row>14</xdr:row>
      <xdr:rowOff>95250</xdr:rowOff>
    </xdr:from>
    <xdr:ext cx="4133850" cy="2562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13" max="13" width="14.88"/>
    <col customWidth="1" min="14" max="14" width="19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M1" s="2" t="s">
        <v>9</v>
      </c>
      <c r="N1" s="2" t="s">
        <v>10</v>
      </c>
    </row>
    <row r="2">
      <c r="A2" s="2">
        <v>1.0</v>
      </c>
      <c r="B2" s="1">
        <v>240.39</v>
      </c>
      <c r="C2" s="1">
        <v>239.48</v>
      </c>
      <c r="D2" s="1">
        <v>241.14</v>
      </c>
      <c r="E2" s="1">
        <v>224.45</v>
      </c>
      <c r="F2" s="1">
        <v>213.83</v>
      </c>
      <c r="G2" s="1">
        <v>199.27</v>
      </c>
      <c r="H2" s="1">
        <v>203.14</v>
      </c>
      <c r="I2" s="1">
        <v>186.04</v>
      </c>
      <c r="J2" s="1">
        <v>131.41</v>
      </c>
      <c r="K2" s="1"/>
      <c r="M2" s="2" t="s">
        <v>11</v>
      </c>
      <c r="N2" s="2" t="s">
        <v>12</v>
      </c>
    </row>
    <row r="3">
      <c r="A3" s="2">
        <v>2.0</v>
      </c>
      <c r="B3" s="1">
        <v>236.34</v>
      </c>
      <c r="C3" s="1">
        <v>227.77</v>
      </c>
      <c r="D3" s="1">
        <v>249.84</v>
      </c>
      <c r="E3" s="1">
        <v>248.47</v>
      </c>
      <c r="F3" s="1">
        <v>232.05</v>
      </c>
      <c r="G3" s="1">
        <v>225.31</v>
      </c>
      <c r="H3" s="1">
        <v>219.57</v>
      </c>
      <c r="I3" s="1">
        <v>211.93</v>
      </c>
      <c r="J3" s="1">
        <v>174.14</v>
      </c>
      <c r="K3" s="1"/>
      <c r="M3" s="2" t="s">
        <v>13</v>
      </c>
      <c r="N3" s="2" t="s">
        <v>14</v>
      </c>
    </row>
    <row r="4">
      <c r="A4" s="2">
        <v>3.0</v>
      </c>
      <c r="B4" s="1">
        <v>242.06</v>
      </c>
      <c r="C4" s="1">
        <v>240.83</v>
      </c>
      <c r="D4" s="1">
        <v>238.33</v>
      </c>
      <c r="E4" s="1">
        <v>228.39</v>
      </c>
      <c r="F4" s="1">
        <v>203.71</v>
      </c>
      <c r="G4" s="1">
        <v>200.83</v>
      </c>
      <c r="H4" s="1">
        <v>200.33</v>
      </c>
      <c r="I4" s="1">
        <v>191.99</v>
      </c>
      <c r="J4" s="1">
        <v>170.44</v>
      </c>
      <c r="K4" s="1"/>
      <c r="M4" s="2" t="s">
        <v>15</v>
      </c>
      <c r="N4" s="3">
        <v>8.0</v>
      </c>
    </row>
    <row r="5">
      <c r="A5" s="2">
        <v>4.0</v>
      </c>
      <c r="B5" s="1">
        <v>249.92</v>
      </c>
      <c r="C5" s="1">
        <v>245.02</v>
      </c>
      <c r="D5" s="1">
        <v>243.37</v>
      </c>
      <c r="E5" s="1">
        <v>227.19</v>
      </c>
      <c r="F5" s="1">
        <v>213.52</v>
      </c>
      <c r="G5" s="1">
        <v>200.31</v>
      </c>
      <c r="H5" s="1">
        <v>197.33</v>
      </c>
      <c r="I5" s="1">
        <v>200.01</v>
      </c>
      <c r="J5" s="1">
        <v>172.82</v>
      </c>
      <c r="K5" s="4"/>
      <c r="M5" s="2" t="s">
        <v>16</v>
      </c>
      <c r="N5" s="3">
        <v>1.9</v>
      </c>
    </row>
    <row r="6">
      <c r="A6" s="2">
        <v>5.0</v>
      </c>
      <c r="B6" s="1">
        <v>242.21</v>
      </c>
      <c r="C6" s="1">
        <v>243.01</v>
      </c>
      <c r="D6" s="1">
        <v>238.52</v>
      </c>
      <c r="E6" s="1">
        <v>228.62</v>
      </c>
      <c r="F6" s="1">
        <v>212.17</v>
      </c>
      <c r="G6" s="1">
        <v>204.46</v>
      </c>
      <c r="H6" s="1">
        <v>197.21</v>
      </c>
      <c r="I6" s="1">
        <v>188.32</v>
      </c>
      <c r="J6" s="1">
        <v>169.32</v>
      </c>
      <c r="K6" s="1"/>
      <c r="M6" s="2" t="s">
        <v>17</v>
      </c>
      <c r="N6" s="3">
        <v>4.4</v>
      </c>
    </row>
    <row r="7">
      <c r="A7" s="2">
        <v>6.0</v>
      </c>
      <c r="B7" s="1">
        <v>272.23</v>
      </c>
      <c r="C7" s="1">
        <v>276.41</v>
      </c>
      <c r="D7" s="1">
        <v>267.63</v>
      </c>
      <c r="E7" s="1">
        <v>238.48</v>
      </c>
      <c r="F7" s="1">
        <v>235.57</v>
      </c>
      <c r="G7" s="1">
        <v>235.66</v>
      </c>
      <c r="H7" s="1">
        <v>230.13</v>
      </c>
      <c r="I7" s="1">
        <v>215.58</v>
      </c>
      <c r="J7" s="1">
        <v>208.71</v>
      </c>
      <c r="K7" s="4"/>
      <c r="M7" s="2" t="s">
        <v>18</v>
      </c>
      <c r="N7" s="3">
        <v>16.0</v>
      </c>
    </row>
    <row r="8">
      <c r="A8" s="2">
        <v>7.0</v>
      </c>
      <c r="B8" s="4"/>
      <c r="C8" s="4"/>
      <c r="D8" s="4"/>
      <c r="E8" s="4"/>
      <c r="F8" s="4"/>
      <c r="G8" s="4"/>
      <c r="H8" s="4"/>
      <c r="I8" s="4"/>
      <c r="J8" s="4"/>
      <c r="K8" s="4"/>
      <c r="M8" s="2" t="s">
        <v>19</v>
      </c>
      <c r="N8" s="3">
        <v>2.6</v>
      </c>
    </row>
    <row r="9">
      <c r="A9" s="2">
        <v>8.0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2">
        <v>9.0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2">
        <v>10.0</v>
      </c>
      <c r="B11" s="4"/>
      <c r="C11" s="4"/>
      <c r="D11" s="4"/>
      <c r="E11" s="4"/>
      <c r="F11" s="4"/>
      <c r="G11" s="4"/>
      <c r="H11" s="4"/>
      <c r="I11" s="4"/>
      <c r="J11" s="4"/>
      <c r="K11" s="4"/>
      <c r="M11" s="2" t="s">
        <v>20</v>
      </c>
      <c r="N11" s="5">
        <f>N7*N5*N4</f>
        <v>243.2</v>
      </c>
    </row>
    <row r="12">
      <c r="B12" s="4"/>
      <c r="C12" s="4"/>
      <c r="D12" s="4"/>
      <c r="E12" s="4"/>
      <c r="F12" s="4"/>
      <c r="G12" s="4"/>
      <c r="H12" s="4"/>
      <c r="I12" s="4"/>
      <c r="J12" s="4"/>
      <c r="K12" s="4"/>
      <c r="M12" s="2" t="s">
        <v>21</v>
      </c>
      <c r="N12" s="5">
        <f>N7*N6*N4</f>
        <v>563.2</v>
      </c>
    </row>
    <row r="13">
      <c r="C13" s="1"/>
      <c r="D13" s="1"/>
      <c r="E13" s="1"/>
      <c r="F13" s="1"/>
      <c r="G13" s="1"/>
      <c r="H13" s="1"/>
      <c r="I13" s="1"/>
      <c r="J13" s="1"/>
      <c r="K13" s="4"/>
      <c r="M13" s="2" t="s">
        <v>22</v>
      </c>
      <c r="N13" s="5">
        <f>N7*N8*N4</f>
        <v>332.8</v>
      </c>
    </row>
    <row r="14">
      <c r="A14" s="6" t="s">
        <v>22</v>
      </c>
      <c r="B14" s="7">
        <f t="shared" ref="B14:J14" si="1">AVERAGE(B2:B11)</f>
        <v>247.1916667</v>
      </c>
      <c r="C14" s="7">
        <f t="shared" si="1"/>
        <v>245.42</v>
      </c>
      <c r="D14" s="7">
        <f t="shared" si="1"/>
        <v>246.4716667</v>
      </c>
      <c r="E14" s="7">
        <f t="shared" si="1"/>
        <v>232.6</v>
      </c>
      <c r="F14" s="7">
        <f t="shared" si="1"/>
        <v>218.475</v>
      </c>
      <c r="G14" s="7">
        <f t="shared" si="1"/>
        <v>210.9733333</v>
      </c>
      <c r="H14" s="7">
        <f t="shared" si="1"/>
        <v>207.9516667</v>
      </c>
      <c r="I14" s="7">
        <f t="shared" si="1"/>
        <v>198.9783333</v>
      </c>
      <c r="J14" s="7">
        <f t="shared" si="1"/>
        <v>171.14</v>
      </c>
    </row>
    <row r="15">
      <c r="A15" s="6" t="s">
        <v>23</v>
      </c>
      <c r="B15" s="4">
        <f t="shared" ref="B15:J15" si="2">ROUNDDOWN(B14/$N11, 3)</f>
        <v>1.016</v>
      </c>
      <c r="C15" s="4">
        <f t="shared" si="2"/>
        <v>1.009</v>
      </c>
      <c r="D15" s="4">
        <f t="shared" si="2"/>
        <v>1.013</v>
      </c>
      <c r="E15" s="4">
        <f t="shared" si="2"/>
        <v>0.956</v>
      </c>
      <c r="F15" s="4">
        <f t="shared" si="2"/>
        <v>0.898</v>
      </c>
      <c r="G15" s="4">
        <f t="shared" si="2"/>
        <v>0.867</v>
      </c>
      <c r="H15" s="4">
        <f t="shared" si="2"/>
        <v>0.855</v>
      </c>
      <c r="I15" s="4">
        <f t="shared" si="2"/>
        <v>0.818</v>
      </c>
      <c r="J15" s="4">
        <f t="shared" si="2"/>
        <v>0.703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B16" s="7">
        <f t="shared" ref="B16:J16" si="3">ROUNDDOWN(B14/$N13, 3)</f>
        <v>0.742</v>
      </c>
      <c r="C16" s="7">
        <f t="shared" si="3"/>
        <v>0.737</v>
      </c>
      <c r="D16" s="7">
        <f t="shared" si="3"/>
        <v>0.74</v>
      </c>
      <c r="E16" s="7">
        <f t="shared" si="3"/>
        <v>0.698</v>
      </c>
      <c r="F16" s="7">
        <f t="shared" si="3"/>
        <v>0.656</v>
      </c>
      <c r="G16" s="7">
        <f t="shared" si="3"/>
        <v>0.633</v>
      </c>
      <c r="H16" s="7">
        <f t="shared" si="3"/>
        <v>0.624</v>
      </c>
      <c r="I16" s="7">
        <f t="shared" si="3"/>
        <v>0.597</v>
      </c>
      <c r="J16" s="7">
        <f t="shared" si="3"/>
        <v>0.514</v>
      </c>
    </row>
    <row r="17">
      <c r="B17" s="7">
        <f t="shared" ref="B17:J17" si="4">ROUNDDOWN(B14/$N12, 3)</f>
        <v>0.438</v>
      </c>
      <c r="C17" s="7">
        <f t="shared" si="4"/>
        <v>0.435</v>
      </c>
      <c r="D17" s="7">
        <f t="shared" si="4"/>
        <v>0.437</v>
      </c>
      <c r="E17" s="7">
        <f t="shared" si="4"/>
        <v>0.412</v>
      </c>
      <c r="F17" s="7">
        <f t="shared" si="4"/>
        <v>0.387</v>
      </c>
      <c r="G17" s="7">
        <f t="shared" si="4"/>
        <v>0.374</v>
      </c>
      <c r="H17" s="7">
        <f t="shared" si="4"/>
        <v>0.369</v>
      </c>
      <c r="I17" s="7">
        <f t="shared" si="4"/>
        <v>0.353</v>
      </c>
      <c r="J17" s="7">
        <f t="shared" si="4"/>
        <v>0.303</v>
      </c>
    </row>
    <row r="19">
      <c r="A19" s="6" t="s">
        <v>20</v>
      </c>
      <c r="B19" s="7">
        <f t="shared" ref="B19:J19" si="5">B15*100</f>
        <v>101.6</v>
      </c>
      <c r="C19" s="7">
        <f t="shared" si="5"/>
        <v>100.9</v>
      </c>
      <c r="D19" s="7">
        <f t="shared" si="5"/>
        <v>101.3</v>
      </c>
      <c r="E19" s="7">
        <f t="shared" si="5"/>
        <v>95.6</v>
      </c>
      <c r="F19" s="7">
        <f t="shared" si="5"/>
        <v>89.8</v>
      </c>
      <c r="G19" s="7">
        <f t="shared" si="5"/>
        <v>86.7</v>
      </c>
      <c r="H19" s="7">
        <f t="shared" si="5"/>
        <v>85.5</v>
      </c>
      <c r="I19" s="7">
        <f t="shared" si="5"/>
        <v>81.8</v>
      </c>
      <c r="J19" s="7">
        <f t="shared" si="5"/>
        <v>70.3</v>
      </c>
    </row>
    <row r="20">
      <c r="A20" s="6" t="s">
        <v>22</v>
      </c>
      <c r="B20" s="7">
        <f t="shared" ref="B20:J20" si="6">B16*100</f>
        <v>74.2</v>
      </c>
      <c r="C20" s="7">
        <f t="shared" si="6"/>
        <v>73.7</v>
      </c>
      <c r="D20" s="7">
        <f t="shared" si="6"/>
        <v>74</v>
      </c>
      <c r="E20" s="7">
        <f t="shared" si="6"/>
        <v>69.8</v>
      </c>
      <c r="F20" s="7">
        <f t="shared" si="6"/>
        <v>65.6</v>
      </c>
      <c r="G20" s="7">
        <f t="shared" si="6"/>
        <v>63.3</v>
      </c>
      <c r="H20" s="7">
        <f t="shared" si="6"/>
        <v>62.4</v>
      </c>
      <c r="I20" s="7">
        <f t="shared" si="6"/>
        <v>59.7</v>
      </c>
      <c r="J20" s="7">
        <f t="shared" si="6"/>
        <v>51.4</v>
      </c>
    </row>
    <row r="21">
      <c r="A21" s="6" t="s">
        <v>21</v>
      </c>
      <c r="B21" s="7">
        <f t="shared" ref="B21:J21" si="7">B17*100</f>
        <v>43.8</v>
      </c>
      <c r="C21" s="7">
        <f t="shared" si="7"/>
        <v>43.5</v>
      </c>
      <c r="D21" s="7">
        <f t="shared" si="7"/>
        <v>43.7</v>
      </c>
      <c r="E21" s="7">
        <f t="shared" si="7"/>
        <v>41.2</v>
      </c>
      <c r="F21" s="7">
        <f t="shared" si="7"/>
        <v>38.7</v>
      </c>
      <c r="G21" s="7">
        <f t="shared" si="7"/>
        <v>37.4</v>
      </c>
      <c r="H21" s="7">
        <f t="shared" si="7"/>
        <v>36.9</v>
      </c>
      <c r="I21" s="7">
        <f t="shared" si="7"/>
        <v>35.3</v>
      </c>
      <c r="J21" s="7">
        <f t="shared" si="7"/>
        <v>30.3</v>
      </c>
    </row>
    <row r="24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</row>
    <row r="25">
      <c r="A25" s="2">
        <v>1.0</v>
      </c>
      <c r="B25" s="2">
        <v>272.41</v>
      </c>
      <c r="C25" s="2">
        <v>276.4</v>
      </c>
      <c r="D25" s="2">
        <v>267.63</v>
      </c>
      <c r="E25" s="2">
        <v>234.48</v>
      </c>
      <c r="F25" s="2">
        <v>235.57</v>
      </c>
      <c r="G25" s="2">
        <v>235.7</v>
      </c>
      <c r="H25" s="2">
        <v>230.13</v>
      </c>
      <c r="I25" s="2">
        <v>215.58</v>
      </c>
      <c r="J25" s="2">
        <v>208.69</v>
      </c>
    </row>
    <row r="26">
      <c r="B26" s="2">
        <v>75.0</v>
      </c>
      <c r="C26" s="2">
        <v>74.0</v>
      </c>
      <c r="D26" s="2">
        <v>76.0</v>
      </c>
      <c r="E26" s="2">
        <v>81.0</v>
      </c>
      <c r="F26" s="2">
        <v>81.0</v>
      </c>
      <c r="G26" s="2">
        <v>81.0</v>
      </c>
      <c r="H26" s="2">
        <v>82.0</v>
      </c>
      <c r="I26" s="2">
        <v>84.0</v>
      </c>
      <c r="J26" s="2">
        <v>85.0</v>
      </c>
    </row>
    <row r="27">
      <c r="A27" s="2">
        <v>2.0</v>
      </c>
      <c r="B27" s="2">
        <v>254.3</v>
      </c>
      <c r="C27" s="2">
        <v>195.11</v>
      </c>
      <c r="D27" s="2">
        <v>200.15</v>
      </c>
      <c r="E27" s="2">
        <v>181.15</v>
      </c>
      <c r="F27" s="2">
        <v>169.93</v>
      </c>
      <c r="G27" s="2">
        <v>161.82</v>
      </c>
      <c r="H27" s="2">
        <v>163.88</v>
      </c>
      <c r="I27" s="2">
        <v>168.8</v>
      </c>
      <c r="J27" s="2">
        <v>164.6</v>
      </c>
    </row>
    <row r="28">
      <c r="B28" s="2">
        <v>80.0</v>
      </c>
      <c r="C28" s="2">
        <v>86.0</v>
      </c>
      <c r="D28" s="2">
        <v>86.0</v>
      </c>
      <c r="E28" s="2">
        <v>91.0</v>
      </c>
      <c r="F28" s="2">
        <v>93.0</v>
      </c>
      <c r="G28" s="2">
        <v>94.0</v>
      </c>
      <c r="H28" s="2">
        <v>94.0</v>
      </c>
      <c r="I28" s="2">
        <v>93.0</v>
      </c>
      <c r="J28" s="2">
        <v>94.0</v>
      </c>
    </row>
    <row r="29">
      <c r="A29" s="2">
        <v>3.0</v>
      </c>
      <c r="B29" s="2">
        <v>229.57</v>
      </c>
      <c r="C29" s="2">
        <v>239.87</v>
      </c>
      <c r="D29" s="2">
        <v>226.67</v>
      </c>
      <c r="E29" s="2">
        <v>216.44</v>
      </c>
      <c r="F29" s="2">
        <v>199.18</v>
      </c>
      <c r="G29" s="2">
        <v>210.87</v>
      </c>
      <c r="H29" s="2">
        <v>208.64</v>
      </c>
      <c r="I29" s="2">
        <v>207.53</v>
      </c>
      <c r="J29" s="2">
        <v>220.06</v>
      </c>
    </row>
    <row r="30">
      <c r="B30" s="2">
        <v>85.0</v>
      </c>
      <c r="C30" s="2">
        <v>83.0</v>
      </c>
      <c r="D30" s="2">
        <v>85.0</v>
      </c>
      <c r="E30" s="2">
        <v>87.0</v>
      </c>
      <c r="F30" s="2">
        <v>88.0</v>
      </c>
      <c r="G30" s="2">
        <v>87.0</v>
      </c>
      <c r="H30" s="2">
        <v>88.0</v>
      </c>
      <c r="I30" s="2">
        <v>88.0</v>
      </c>
      <c r="J30" s="2">
        <v>86.0</v>
      </c>
    </row>
    <row r="31">
      <c r="A31" s="2">
        <v>4.0</v>
      </c>
      <c r="B31" s="2">
        <v>230.01</v>
      </c>
      <c r="C31" s="2">
        <v>225.94</v>
      </c>
      <c r="D31" s="2">
        <v>234.92</v>
      </c>
      <c r="E31" s="2">
        <v>222.67</v>
      </c>
      <c r="F31" s="2">
        <v>228.72</v>
      </c>
      <c r="G31" s="2">
        <v>235.44</v>
      </c>
      <c r="H31" s="2">
        <v>235.25</v>
      </c>
      <c r="I31" s="2">
        <v>229.03</v>
      </c>
      <c r="J31" s="2">
        <v>231.18</v>
      </c>
    </row>
    <row r="32">
      <c r="B32" s="2">
        <v>83.0</v>
      </c>
      <c r="C32" s="2">
        <v>79.0</v>
      </c>
      <c r="D32" s="2">
        <v>78.0</v>
      </c>
      <c r="E32" s="2">
        <v>80.0</v>
      </c>
      <c r="F32" s="2">
        <v>79.0</v>
      </c>
      <c r="G32" s="2">
        <v>78.0</v>
      </c>
      <c r="H32" s="2">
        <v>78.0</v>
      </c>
      <c r="I32" s="2">
        <v>79.0</v>
      </c>
      <c r="J32" s="2">
        <v>78.0</v>
      </c>
    </row>
    <row r="33">
      <c r="A33" s="2">
        <v>5.0</v>
      </c>
      <c r="B33" s="2">
        <v>228.32</v>
      </c>
      <c r="C33" s="2">
        <v>250.95</v>
      </c>
      <c r="D33" s="2">
        <v>222.92</v>
      </c>
      <c r="E33" s="2">
        <v>190.94</v>
      </c>
      <c r="F33" s="2">
        <v>212.19</v>
      </c>
      <c r="G33" s="2">
        <v>213.08</v>
      </c>
      <c r="H33" s="2">
        <v>212.86</v>
      </c>
      <c r="I33" s="2">
        <v>209.6</v>
      </c>
      <c r="J33" s="2">
        <v>208.47</v>
      </c>
    </row>
    <row r="34">
      <c r="B34" s="2">
        <v>82.0</v>
      </c>
      <c r="C34" s="2">
        <v>79.0</v>
      </c>
      <c r="D34" s="2">
        <v>83.0</v>
      </c>
      <c r="E34" s="2">
        <v>88.0</v>
      </c>
      <c r="F34" s="2">
        <v>85.0</v>
      </c>
      <c r="G34" s="2">
        <v>85.0</v>
      </c>
      <c r="H34" s="2">
        <v>85.0</v>
      </c>
      <c r="I34" s="2">
        <v>85.0</v>
      </c>
      <c r="J34" s="2">
        <v>86.0</v>
      </c>
    </row>
    <row r="35">
      <c r="A35" s="2">
        <v>6.0</v>
      </c>
      <c r="B35" s="2">
        <v>230.0</v>
      </c>
      <c r="C35" s="2">
        <v>220.7</v>
      </c>
      <c r="D35" s="2">
        <v>223.49</v>
      </c>
      <c r="E35" s="2">
        <v>211.53</v>
      </c>
      <c r="F35" s="2">
        <v>211.62</v>
      </c>
      <c r="G35" s="2">
        <v>210.82</v>
      </c>
      <c r="H35" s="2">
        <v>214.47</v>
      </c>
      <c r="I35" s="2">
        <v>210.77</v>
      </c>
      <c r="J35" s="2">
        <v>224.22</v>
      </c>
    </row>
    <row r="36">
      <c r="B36" s="2">
        <v>82.0</v>
      </c>
      <c r="C36" s="2">
        <v>87.0</v>
      </c>
      <c r="D36" s="2">
        <v>86.0</v>
      </c>
      <c r="E36" s="2">
        <v>88.0</v>
      </c>
      <c r="F36" s="2">
        <v>88.0</v>
      </c>
      <c r="G36" s="2">
        <v>88.0</v>
      </c>
      <c r="H36" s="2">
        <v>87.0</v>
      </c>
      <c r="I36" s="2">
        <v>88.0</v>
      </c>
      <c r="J36" s="2">
        <v>86.0</v>
      </c>
    </row>
    <row r="37">
      <c r="A37" s="2">
        <v>7.0</v>
      </c>
      <c r="B37" s="2">
        <v>220.31</v>
      </c>
      <c r="C37" s="2">
        <v>251.37</v>
      </c>
      <c r="D37" s="2">
        <v>241.61</v>
      </c>
      <c r="E37" s="2">
        <v>239.05</v>
      </c>
      <c r="F37" s="2">
        <v>232.31</v>
      </c>
      <c r="G37" s="2">
        <v>233.01</v>
      </c>
      <c r="H37" s="2">
        <v>234.77</v>
      </c>
      <c r="I37" s="2">
        <v>227.3</v>
      </c>
      <c r="J37" s="2">
        <v>233.46</v>
      </c>
    </row>
    <row r="38">
      <c r="B38" s="2">
        <v>83.0</v>
      </c>
      <c r="C38" s="2">
        <v>82.0</v>
      </c>
      <c r="D38" s="2">
        <v>83.0</v>
      </c>
      <c r="E38" s="2">
        <v>84.0</v>
      </c>
      <c r="F38" s="2">
        <v>85.0</v>
      </c>
      <c r="G38" s="2">
        <v>85.0</v>
      </c>
      <c r="H38" s="2">
        <v>84.0</v>
      </c>
      <c r="I38" s="2">
        <v>86.0</v>
      </c>
      <c r="J38" s="2">
        <v>85.0</v>
      </c>
    </row>
    <row r="39">
      <c r="A39" s="2">
        <v>8.0</v>
      </c>
      <c r="B39" s="2">
        <v>219.31</v>
      </c>
      <c r="C39" s="2">
        <v>227.83</v>
      </c>
      <c r="D39" s="2">
        <v>252.34</v>
      </c>
      <c r="E39" s="2">
        <v>225.79</v>
      </c>
      <c r="F39" s="2">
        <v>214.75</v>
      </c>
      <c r="G39" s="2">
        <v>212.99</v>
      </c>
      <c r="H39" s="2">
        <v>204.1</v>
      </c>
      <c r="I39" s="2">
        <v>209.94</v>
      </c>
      <c r="J39" s="2">
        <v>212.76</v>
      </c>
    </row>
    <row r="40">
      <c r="B40" s="2">
        <v>82.0</v>
      </c>
      <c r="C40" s="2">
        <v>80.0</v>
      </c>
      <c r="D40" s="2">
        <v>76.0</v>
      </c>
      <c r="E40" s="2">
        <v>80.0</v>
      </c>
      <c r="F40" s="2">
        <v>82.0</v>
      </c>
      <c r="G40" s="2">
        <v>82.0</v>
      </c>
      <c r="H40" s="2">
        <v>83.0</v>
      </c>
      <c r="I40" s="2">
        <v>82.0</v>
      </c>
      <c r="J40" s="2">
        <v>82.0</v>
      </c>
    </row>
    <row r="41">
      <c r="A41" s="2">
        <v>9.0</v>
      </c>
      <c r="B41" s="2">
        <v>215.51</v>
      </c>
      <c r="C41" s="2">
        <v>237.62</v>
      </c>
      <c r="D41" s="2">
        <v>250.41</v>
      </c>
      <c r="E41" s="2">
        <v>222.91</v>
      </c>
      <c r="F41" s="2">
        <v>214.63</v>
      </c>
      <c r="G41" s="2">
        <v>215.15</v>
      </c>
      <c r="H41" s="2">
        <v>215.17</v>
      </c>
      <c r="I41" s="2">
        <v>211.2</v>
      </c>
      <c r="J41" s="2">
        <v>227.63</v>
      </c>
    </row>
    <row r="42">
      <c r="B42" s="2">
        <v>81.0</v>
      </c>
      <c r="C42" s="2">
        <v>75.0</v>
      </c>
      <c r="D42" s="2">
        <v>73.0</v>
      </c>
      <c r="E42" s="2">
        <v>77.0</v>
      </c>
      <c r="F42" s="2">
        <v>79.0</v>
      </c>
      <c r="G42" s="2">
        <v>79.0</v>
      </c>
      <c r="H42" s="2">
        <v>79.0</v>
      </c>
      <c r="I42" s="2">
        <v>80.0</v>
      </c>
      <c r="J42" s="2">
        <v>77.0</v>
      </c>
    </row>
    <row r="44">
      <c r="A44" s="2" t="s">
        <v>24</v>
      </c>
      <c r="B44" s="7">
        <f t="shared" ref="B44:J44" si="8">Rounddown(AVERAGE(B26,B28,B30,B32,B34,B36,B38,B40,B42),2)</f>
        <v>81.44</v>
      </c>
      <c r="C44" s="7">
        <f t="shared" si="8"/>
        <v>80.55</v>
      </c>
      <c r="D44" s="7">
        <f t="shared" si="8"/>
        <v>80.66</v>
      </c>
      <c r="E44" s="7">
        <f t="shared" si="8"/>
        <v>84</v>
      </c>
      <c r="F44" s="7">
        <f t="shared" si="8"/>
        <v>84.44</v>
      </c>
      <c r="G44" s="7">
        <f t="shared" si="8"/>
        <v>84.33</v>
      </c>
      <c r="H44" s="7">
        <f t="shared" si="8"/>
        <v>84.44</v>
      </c>
      <c r="I44" s="7">
        <f t="shared" si="8"/>
        <v>85</v>
      </c>
      <c r="J44" s="7">
        <f t="shared" si="8"/>
        <v>84.33</v>
      </c>
    </row>
    <row r="45">
      <c r="A45" s="2" t="s">
        <v>25</v>
      </c>
      <c r="B45" s="7">
        <f t="shared" ref="B45:J45" si="9">rounddown(AVERAGE(B25,B27,B29,B31,B33,B35,B37,B39,B41),3)</f>
        <v>233.304</v>
      </c>
      <c r="C45" s="7">
        <f t="shared" si="9"/>
        <v>236.198</v>
      </c>
      <c r="D45" s="7">
        <f t="shared" si="9"/>
        <v>235.571</v>
      </c>
      <c r="E45" s="7">
        <f t="shared" si="9"/>
        <v>216.106</v>
      </c>
      <c r="F45" s="7">
        <f t="shared" si="9"/>
        <v>213.211</v>
      </c>
      <c r="G45" s="7">
        <f t="shared" si="9"/>
        <v>214.32</v>
      </c>
      <c r="H45" s="7">
        <f t="shared" si="9"/>
        <v>213.252</v>
      </c>
      <c r="I45" s="7">
        <f t="shared" si="9"/>
        <v>209.972</v>
      </c>
      <c r="J45" s="7">
        <f t="shared" si="9"/>
        <v>214.563</v>
      </c>
    </row>
  </sheetData>
  <drawing r:id="rId1"/>
</worksheet>
</file>